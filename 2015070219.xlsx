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94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<sst xmlns="http://schemas.openxmlformats.org/spreadsheetml/2006/main" count="13" uniqueCount="13">
  <si>
    <t>sno: 2015070219</t>
  </si>
  <si>
    <t>A*B</t>
  </si>
  <si>
    <t>A平均数</t>
  </si>
  <si>
    <t>B平均数</t>
  </si>
  <si>
    <t>n值</t>
  </si>
  <si>
    <t>n*F1*G1</t>
  </si>
  <si>
    <t>A的平方</t>
  </si>
  <si>
    <t xml:space="preserve">lines: </t>
  </si>
  <si>
    <t>A平均数的平方</t>
  </si>
  <si>
    <t>n*F3*F3</t>
  </si>
  <si>
    <t>A*B之和=</t>
  </si>
  <si>
    <t>斜率</t>
  </si>
  <si>
    <t>截距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</si>
</sst>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9" fillId="22" borderId="3" applyNumberFormat="0" applyAlignment="0" applyProtection="0">
      <alignment vertical="center"/>
    </xf>
    <xf numFmtId="0" fontId="11" fillId="15" borderId="4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D1" sqref="D1"/>
    </sheetView>
  </sheetViews>
  <sheetFormatPr defaultColWidth="8.88888888888889" defaultRowHeight="14.4"/>
  <cols>
    <col min="3" max="3" width="12.8888888888889"/>
    <col min="4" max="4" width="14.1111111111111"/>
    <col min="5" max="6" width="12.8888888888889"/>
    <col min="7" max="7" width="14.1111111111111"/>
    <col min="9" max="10" width="12.8888888888889"/>
  </cols>
  <sheetData>
    <row r="1" spans="1:10">
      <c r="A1" t="s">
        <v>0</v>
      </c>
      <c r="C1">
        <f>LINEST(B3:B21,A3:A21)</f>
        <v>14.3925109634776</v>
      </c>
      <c r="D1">
        <f>INTERCEPT(B3:B21,A3:A21)</f>
        <v>5.49803630485983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2">
      <c r="A2" t="s">
        <v>7</v>
      </c>
      <c r="B2">
        <v>19</v>
      </c>
    </row>
    <row r="3" spans="1:10">
      <c r="A3">
        <v>-1.28395583513367</v>
      </c>
      <c r="B3">
        <v>-4.48705262298755</v>
      </c>
      <c r="E3">
        <f>(A3*B3)</f>
        <v>5.7611773978367</v>
      </c>
      <c r="F3">
        <f>AVERAGE(A3:A21)</f>
        <v>-0.402502320178203</v>
      </c>
      <c r="G3">
        <f>AVERAGE(B3:B21)</f>
        <v>-0.294982751130121</v>
      </c>
      <c r="H3">
        <v>19</v>
      </c>
      <c r="I3">
        <f>(F3*G3*H3)</f>
        <v>2.25589359310604</v>
      </c>
      <c r="J3">
        <f>(A3*A3)</f>
        <v>1.6485425865738</v>
      </c>
    </row>
    <row r="4" spans="1:10">
      <c r="A4">
        <v>-1.81698970371383</v>
      </c>
      <c r="B4">
        <v>-14.0267291052999</v>
      </c>
      <c r="E4">
        <f t="shared" ref="E4:E21" si="0">(A4*B4)</f>
        <v>25.486422361113</v>
      </c>
      <c r="J4">
        <f t="shared" ref="J4:J21" si="1">(A4*A4)</f>
        <v>3.30145158340207</v>
      </c>
    </row>
    <row r="5" spans="1:10">
      <c r="A5">
        <v>-0.839359467700385</v>
      </c>
      <c r="B5">
        <v>-2.0225622951388</v>
      </c>
      <c r="E5">
        <f t="shared" si="0"/>
        <v>1.69765681143857</v>
      </c>
      <c r="F5" t="s">
        <v>8</v>
      </c>
      <c r="I5" t="s">
        <v>9</v>
      </c>
      <c r="J5">
        <f t="shared" si="1"/>
        <v>0.704524316018274</v>
      </c>
    </row>
    <row r="6" spans="1:10">
      <c r="A6">
        <v>0.767062298445833</v>
      </c>
      <c r="B6">
        <v>14.0051601386888</v>
      </c>
      <c r="E6">
        <f t="shared" si="0"/>
        <v>10.7428303260846</v>
      </c>
      <c r="J6">
        <f t="shared" si="1"/>
        <v>0.588384569697004</v>
      </c>
    </row>
    <row r="7" spans="1:10">
      <c r="A7">
        <v>-1.06090473258448</v>
      </c>
      <c r="B7">
        <v>-8.99448628381962</v>
      </c>
      <c r="E7">
        <f t="shared" si="0"/>
        <v>9.54229306567043</v>
      </c>
      <c r="F7">
        <f>(F3*F3)</f>
        <v>0.162008117748837</v>
      </c>
      <c r="I7">
        <f>(19*F3*F3)</f>
        <v>3.0781542372279</v>
      </c>
      <c r="J7">
        <f t="shared" si="1"/>
        <v>1.12551885162015</v>
      </c>
    </row>
    <row r="8" spans="1:10">
      <c r="A8">
        <v>-0.778222242448078</v>
      </c>
      <c r="B8">
        <v>-11.2082893830077</v>
      </c>
      <c r="E8">
        <f t="shared" si="0"/>
        <v>8.72254009765124</v>
      </c>
      <c r="J8">
        <f t="shared" si="1"/>
        <v>0.605629858640915</v>
      </c>
    </row>
    <row r="9" spans="1:10">
      <c r="A9">
        <v>0.609093413678523</v>
      </c>
      <c r="B9">
        <v>15.5812809231044</v>
      </c>
      <c r="E9">
        <f t="shared" si="0"/>
        <v>9.49045558693771</v>
      </c>
      <c r="J9">
        <f t="shared" si="1"/>
        <v>0.370994786586556</v>
      </c>
    </row>
    <row r="10" spans="1:10">
      <c r="A10">
        <v>0.276282783186227</v>
      </c>
      <c r="B10">
        <v>9.6481900237655</v>
      </c>
      <c r="E10">
        <f t="shared" si="0"/>
        <v>2.66562879247552</v>
      </c>
      <c r="J10">
        <f t="shared" si="1"/>
        <v>0.0763321762851277</v>
      </c>
    </row>
    <row r="11" spans="1:10">
      <c r="A11">
        <v>0.150752252546194</v>
      </c>
      <c r="B11">
        <v>12.5063557963709</v>
      </c>
      <c r="E11">
        <f t="shared" si="0"/>
        <v>1.88536130744706</v>
      </c>
      <c r="J11">
        <f t="shared" si="1"/>
        <v>0.0227262416477515</v>
      </c>
    </row>
    <row r="12" spans="1:10">
      <c r="A12">
        <v>1.26291861469866</v>
      </c>
      <c r="B12">
        <v>20.7862282342754</v>
      </c>
      <c r="E12">
        <f t="shared" si="0"/>
        <v>26.2513145664413</v>
      </c>
      <c r="J12">
        <f t="shared" si="1"/>
        <v>1.59496342735238</v>
      </c>
    </row>
    <row r="13" spans="1:10">
      <c r="A13">
        <v>0.466571571704087</v>
      </c>
      <c r="B13">
        <v>11.8855922507329</v>
      </c>
      <c r="E13">
        <f t="shared" si="0"/>
        <v>5.54547945705837</v>
      </c>
      <c r="J13">
        <f t="shared" si="1"/>
        <v>0.217689031522422</v>
      </c>
    </row>
    <row r="14" spans="1:10">
      <c r="A14">
        <v>-0.784697778507539</v>
      </c>
      <c r="B14">
        <v>-9.10932654628848</v>
      </c>
      <c r="E14">
        <f t="shared" si="0"/>
        <v>7.14806830457232</v>
      </c>
      <c r="J14">
        <f t="shared" si="1"/>
        <v>0.615750603594667</v>
      </c>
    </row>
    <row r="15" spans="1:10">
      <c r="A15">
        <v>0.0792502358581882</v>
      </c>
      <c r="B15">
        <v>5.95375948369945</v>
      </c>
      <c r="E15">
        <f t="shared" si="0"/>
        <v>0.471836843326106</v>
      </c>
      <c r="J15">
        <f t="shared" si="1"/>
        <v>0.00628059988357846</v>
      </c>
    </row>
    <row r="16" spans="1:10">
      <c r="A16">
        <v>-0.625773214745783</v>
      </c>
      <c r="B16">
        <v>-6.4067274948486</v>
      </c>
      <c r="E16">
        <f t="shared" si="0"/>
        <v>4.00915846045161</v>
      </c>
      <c r="J16">
        <f t="shared" si="1"/>
        <v>0.391592116293272</v>
      </c>
    </row>
    <row r="17" spans="1:10">
      <c r="A17">
        <v>-0.746888750204479</v>
      </c>
      <c r="B17">
        <v>-4.39117239370459</v>
      </c>
      <c r="E17">
        <f t="shared" si="0"/>
        <v>3.27971726106643</v>
      </c>
      <c r="J17">
        <f t="shared" si="1"/>
        <v>0.557842805182009</v>
      </c>
    </row>
    <row r="18" spans="1:10">
      <c r="A18">
        <v>-1.36627729015274</v>
      </c>
      <c r="B18">
        <v>-18.2046531308886</v>
      </c>
      <c r="E18">
        <f t="shared" si="0"/>
        <v>24.8726041478411</v>
      </c>
      <c r="J18">
        <f t="shared" si="1"/>
        <v>1.86671363358711</v>
      </c>
    </row>
    <row r="19" spans="1:10">
      <c r="A19">
        <v>0.676665743647547</v>
      </c>
      <c r="B19">
        <v>19.9730639235182</v>
      </c>
      <c r="E19">
        <f t="shared" si="0"/>
        <v>13.5150881527274</v>
      </c>
      <c r="J19">
        <f t="shared" si="1"/>
        <v>0.457876528626088</v>
      </c>
    </row>
    <row r="20" spans="1:10">
      <c r="A20">
        <v>-1.50234552533717</v>
      </c>
      <c r="B20">
        <v>-25.5745107452474</v>
      </c>
      <c r="E20">
        <f t="shared" si="0"/>
        <v>38.4217517808098</v>
      </c>
      <c r="J20">
        <f t="shared" si="1"/>
        <v>2.25704207750062</v>
      </c>
    </row>
    <row r="21" spans="1:10">
      <c r="A21">
        <v>-1.13072645662296</v>
      </c>
      <c r="B21">
        <v>-11.5187930443966</v>
      </c>
      <c r="E21">
        <f t="shared" si="0"/>
        <v>13.0246040436638</v>
      </c>
      <c r="J21">
        <f t="shared" si="1"/>
        <v>1.27854231970711</v>
      </c>
    </row>
    <row r="24" spans="4:10">
      <c r="D24" t="s">
        <v>10</v>
      </c>
      <c r="E24">
        <f>SUM(E3:E21)</f>
        <v>212.533988764613</v>
      </c>
      <c r="J24">
        <f>SUM(J3:J21)</f>
        <v>17.6883981137209</v>
      </c>
    </row>
    <row r="25" spans="3:4">
      <c r="C25" t="s">
        <v>11</v>
      </c>
      <c r="D25" t="s">
        <v>12</v>
      </c>
    </row>
    <row r="26" spans="3:4">
      <c r="C26">
        <f>(E24-I3)/(J24-I7)</f>
        <v>14.3925109634776</v>
      </c>
      <c r="D26">
        <f>(G3-C26*F3)</f>
        <v>5.49803630485983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安下风生</cp:lastModifiedBy>
  <dcterms:created xsi:type="dcterms:W3CDTF">2020-11-21T09:33:00Z</dcterms:created>
  <dcterms:modified xsi:type="dcterms:W3CDTF">2020-11-23T05:18:14Z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2052-11.1.0.10132</vt:lpwstr>
  </property>
</Properties>
</file>